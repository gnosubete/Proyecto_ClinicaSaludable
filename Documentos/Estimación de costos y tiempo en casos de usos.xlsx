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hflor\OneDrive\Documentos\Aiep\2do_Sem_2025\Octubre_21\Metodologías de Desarrollo\Clases\"/>
    </mc:Choice>
  </mc:AlternateContent>
  <xr:revisionPtr revIDLastSave="0" documentId="8_{6E593D64-6517-49FD-830D-78FA60B8BABB}" xr6:coauthVersionLast="47" xr6:coauthVersionMax="47" xr10:uidLastSave="{00000000-0000-0000-0000-000000000000}"/>
  <bookViews>
    <workbookView xWindow="20370" yWindow="-120" windowWidth="29040" windowHeight="15720" xr2:uid="{9BB4E8A3-57D5-4749-94C4-B4E309A4B917}"/>
  </bookViews>
  <sheets>
    <sheet name="Casos de Uso" sheetId="5" r:id="rId1"/>
    <sheet name="Hoja1" sheetId="6" r:id="rId2"/>
  </sheets>
  <definedNames>
    <definedName name="EF">'Casos de Uso'!$E$39</definedName>
    <definedName name="ENF">'Casos de Uso'!$H$4</definedName>
    <definedName name="HORAS">'Casos de Uso'!$H$6</definedName>
    <definedName name="Personas">'Casos de Uso'!$H$9</definedName>
    <definedName name="TCF">'Casos de Uso'!$H$3</definedName>
    <definedName name="TF">'Casos de Uso'!$E$28</definedName>
    <definedName name="TotalHoras">'Casos de Uso'!$H$8</definedName>
    <definedName name="UAW">'Casos de Uso'!$D$12</definedName>
    <definedName name="UCP">'Casos de Uso'!$H$5</definedName>
    <definedName name="UUCP">'Casos de Uso'!$H$2</definedName>
    <definedName name="UUCW">'Casos de Uso'!$D$6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5" l="1"/>
  <c r="K11" i="5"/>
  <c r="M31" i="5"/>
  <c r="D38" i="5" l="1"/>
  <c r="D37" i="5"/>
  <c r="D36" i="5"/>
  <c r="D35" i="5"/>
  <c r="D34" i="5"/>
  <c r="D33" i="5"/>
  <c r="D32" i="5"/>
  <c r="D31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C12" i="5"/>
  <c r="D11" i="5"/>
  <c r="D10" i="5"/>
  <c r="D9" i="5"/>
  <c r="C6" i="5"/>
  <c r="D5" i="5"/>
  <c r="D4" i="5"/>
  <c r="D3" i="5"/>
  <c r="D39" i="5" l="1"/>
  <c r="H4" i="5" s="1"/>
  <c r="D12" i="5"/>
  <c r="D6" i="5"/>
  <c r="D28" i="5"/>
  <c r="H3" i="5" s="1"/>
  <c r="H2" i="5" l="1"/>
  <c r="H5" i="5" s="1"/>
  <c r="H8" i="5" l="1"/>
  <c r="L8" i="5" l="1"/>
  <c r="M8" i="5" s="1"/>
  <c r="H10" i="5"/>
  <c r="H11" i="5"/>
  <c r="L7" i="5" l="1"/>
  <c r="M7" i="5" s="1"/>
  <c r="L6" i="5"/>
  <c r="M6" i="5" s="1"/>
  <c r="L9" i="5"/>
  <c r="M9" i="5" s="1"/>
  <c r="L10" i="5"/>
  <c r="M10" i="5" s="1"/>
  <c r="M11" i="5" l="1"/>
  <c r="L11" i="5"/>
</calcChain>
</file>

<file path=xl/sharedStrings.xml><?xml version="1.0" encoding="utf-8"?>
<sst xmlns="http://schemas.openxmlformats.org/spreadsheetml/2006/main" count="100" uniqueCount="87">
  <si>
    <t>Estimación Casos de Uso</t>
  </si>
  <si>
    <t>USE CASE POINTS</t>
  </si>
  <si>
    <r>
      <rPr>
        <b/>
        <sz val="11"/>
        <color theme="1"/>
        <rFont val="Aptos Narrow"/>
        <family val="2"/>
        <scheme val="minor"/>
      </rPr>
      <t>UPC</t>
    </r>
    <r>
      <rPr>
        <sz val="11"/>
        <color theme="1"/>
        <rFont val="Aptos Narrow"/>
        <family val="2"/>
        <scheme val="minor"/>
      </rPr>
      <t>: Se obtienen con el producto de la suma</t>
    </r>
  </si>
  <si>
    <t xml:space="preserve">Casos de uso </t>
  </si>
  <si>
    <t>Peso</t>
  </si>
  <si>
    <t># de UC</t>
  </si>
  <si>
    <t>Product</t>
  </si>
  <si>
    <t>Casos de Uso + Actores</t>
  </si>
  <si>
    <t xml:space="preserve">de Use Cases y Tipos de Actores, multiplicando </t>
  </si>
  <si>
    <t>Simple (3 transacciones o menos)</t>
  </si>
  <si>
    <t>Factor Técnico</t>
  </si>
  <si>
    <t>por los factores de ajuste técnico y ambiental</t>
  </si>
  <si>
    <t>Medio (4 a 7 transacciones)</t>
  </si>
  <si>
    <t>Factor Ambiental</t>
  </si>
  <si>
    <t xml:space="preserve">Proyecto  </t>
  </si>
  <si>
    <t>Complejo (mas de 7 transacciones)</t>
  </si>
  <si>
    <t>UCP (Puntos de Casos de Usos) - Ajustados</t>
  </si>
  <si>
    <t>Personas /H</t>
  </si>
  <si>
    <t>Persoans/Días</t>
  </si>
  <si>
    <t>Casos de uso</t>
  </si>
  <si>
    <t>Hrs por UCP</t>
  </si>
  <si>
    <t xml:space="preserve">Análisis </t>
  </si>
  <si>
    <t>Costo p/p</t>
  </si>
  <si>
    <t>Diseño</t>
  </si>
  <si>
    <t>Actor type: es el rol de usuario que ejecuta el sistema</t>
  </si>
  <si>
    <t># de actores</t>
  </si>
  <si>
    <t>Esfuerzo</t>
  </si>
  <si>
    <t>↔</t>
  </si>
  <si>
    <t>Programación</t>
  </si>
  <si>
    <t>Simple (otros programas o sistemas que interactuan mediante una interfaz API, boots)</t>
  </si>
  <si>
    <t>Personas del equipo</t>
  </si>
  <si>
    <t>Pruebas</t>
  </si>
  <si>
    <t>Medio (humano que interactua con el sistema mediante entrada de texto)</t>
  </si>
  <si>
    <t>Tiempo Hrs/Persona (M)</t>
  </si>
  <si>
    <t>Otroas tareas</t>
  </si>
  <si>
    <t>Complejo (si es un humano que interactua con el sistema con itnerfaz gráfica)</t>
  </si>
  <si>
    <t>Costo total</t>
  </si>
  <si>
    <t>Factores de pesos de los Actores</t>
  </si>
  <si>
    <t>premisas Hr:</t>
  </si>
  <si>
    <t>E7 y E8:</t>
  </si>
  <si>
    <t>Factor Técnico: es completar una solicitud del cliente</t>
  </si>
  <si>
    <t>Assesment</t>
  </si>
  <si>
    <t>Impact</t>
  </si>
  <si>
    <t>2 o menos = 20 Hr</t>
  </si>
  <si>
    <t>del E1 al E6 &lt;= 3</t>
  </si>
  <si>
    <t>T1 - Sistema distribuido</t>
  </si>
  <si>
    <t>hasta 4 = 28 Hr</t>
  </si>
  <si>
    <t>del E7 al E8 &gt; 3</t>
  </si>
  <si>
    <t>T2 - Objetivos de performance o tiempo de respuesta</t>
  </si>
  <si>
    <t>´=&gt; de 5 Hr = 36 Hr</t>
  </si>
  <si>
    <t xml:space="preserve">T3 - Eficiencia del usuario final </t>
  </si>
  <si>
    <t>T4 - Procesamiento interno compejo</t>
  </si>
  <si>
    <t>T5 - El código puede ser reutilizable</t>
  </si>
  <si>
    <t>Criterio: de 1 a 5+</t>
  </si>
  <si>
    <t>T6 - Factibilidad de instalación</t>
  </si>
  <si>
    <t>Sin influencia</t>
  </si>
  <si>
    <t>T7 - Factibilidad de uso</t>
  </si>
  <si>
    <t>Accidental, influencia no significativa</t>
  </si>
  <si>
    <t>T8 - Portabilidad</t>
  </si>
  <si>
    <t>Moderado, influencia moderada</t>
  </si>
  <si>
    <t>T9 - Facilidad de cambio (mantenibilidad)</t>
  </si>
  <si>
    <t>Medio, infliuencia media</t>
  </si>
  <si>
    <t>T10 - Concurrencia</t>
  </si>
  <si>
    <t>Significativo, influencia significativa</t>
  </si>
  <si>
    <t>T11 - Incluye objetivos especiales de seguridad</t>
  </si>
  <si>
    <t>Esencial., influencia esencial</t>
  </si>
  <si>
    <t>T12 - Provee acceso directo a terceras partes</t>
  </si>
  <si>
    <t>T13 - Se requiere facilidades especiales de entrenamiento a usuario</t>
  </si>
  <si>
    <t>Factores técncios</t>
  </si>
  <si>
    <t>Factor Ambiental: Mide las características del entorno y el equipo de trabajo</t>
  </si>
  <si>
    <t>Ambiente:</t>
  </si>
  <si>
    <t>Suma de FA E1 a E6, con influencia menor al valor medio</t>
  </si>
  <si>
    <t>Concomientos</t>
  </si>
  <si>
    <t>Suma de FA E7 y E8, con influencia mayor al valor medio</t>
  </si>
  <si>
    <t>E1 - Familiaridad con el modelo de proyecto utilizado (Ej. RUP)</t>
  </si>
  <si>
    <t>Ingenieros</t>
  </si>
  <si>
    <t>Suma total</t>
  </si>
  <si>
    <t>E2 - Experiencia en la aplicación</t>
  </si>
  <si>
    <t>Liderago</t>
  </si>
  <si>
    <t>E3 - Experiencia en orientación a objetivos</t>
  </si>
  <si>
    <t>Criterios: de 1 a 5+</t>
  </si>
  <si>
    <t>E4 - Capacidad del analista líder</t>
  </si>
  <si>
    <t>E5 - Motivación del equipo</t>
  </si>
  <si>
    <t>E6 - Estabilidad de los requerimientos</t>
  </si>
  <si>
    <t>E7 - Personal part - time</t>
  </si>
  <si>
    <t>E8 - Dificultad de lenguaje de programación</t>
  </si>
  <si>
    <t>Factores ambientales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</si>
</sst>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0.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rgb="FFFFFFFF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249977111117893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rgb="FFFFFF00"/>
      </patternFill>
    </fill>
  </fills>
  <borders count="1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3" fillId="3" borderId="1" xfId="0" applyFont="1" applyFill="1" applyBorder="1"/>
    <xf numFmtId="0" fontId="3" fillId="3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/>
    </xf>
    <xf numFmtId="164" fontId="0" fillId="0" borderId="0" xfId="1" applyFont="1"/>
    <xf numFmtId="0" fontId="3" fillId="3" borderId="6" xfId="0" applyFont="1" applyFill="1" applyBorder="1"/>
    <xf numFmtId="0" fontId="0" fillId="0" borderId="6" xfId="0" applyBorder="1"/>
    <xf numFmtId="0" fontId="3" fillId="3" borderId="7" xfId="0" applyFont="1" applyFill="1" applyBorder="1"/>
    <xf numFmtId="2" fontId="4" fillId="5" borderId="8" xfId="0" applyNumberFormat="1" applyFont="1" applyFill="1" applyBorder="1"/>
    <xf numFmtId="0" fontId="3" fillId="3" borderId="9" xfId="0" applyFont="1" applyFill="1" applyBorder="1"/>
    <xf numFmtId="0" fontId="0" fillId="2" borderId="10" xfId="0" applyFill="1" applyBorder="1" applyProtection="1">
      <protection locked="0"/>
    </xf>
    <xf numFmtId="0" fontId="3" fillId="3" borderId="9" xfId="0" applyFont="1" applyFill="1" applyBorder="1" applyAlignment="1">
      <alignment vertical="center" wrapText="1"/>
    </xf>
    <xf numFmtId="2" fontId="4" fillId="5" borderId="10" xfId="0" applyNumberFormat="1" applyFont="1" applyFill="1" applyBorder="1"/>
    <xf numFmtId="0" fontId="3" fillId="3" borderId="9" xfId="0" applyFont="1" applyFill="1" applyBorder="1" applyAlignment="1">
      <alignment wrapText="1"/>
    </xf>
    <xf numFmtId="165" fontId="4" fillId="5" borderId="10" xfId="0" applyNumberFormat="1" applyFont="1" applyFill="1" applyBorder="1"/>
    <xf numFmtId="0" fontId="3" fillId="3" borderId="11" xfId="0" applyFont="1" applyFill="1" applyBorder="1" applyAlignment="1">
      <alignment wrapText="1"/>
    </xf>
    <xf numFmtId="164" fontId="4" fillId="5" borderId="12" xfId="1" applyFont="1" applyFill="1" applyBorder="1"/>
    <xf numFmtId="0" fontId="2" fillId="6" borderId="2" xfId="0" applyFont="1" applyFill="1" applyBorder="1" applyAlignment="1">
      <alignment horizontal="right"/>
    </xf>
    <xf numFmtId="0" fontId="0" fillId="6" borderId="3" xfId="0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0" fillId="6" borderId="0" xfId="0" applyFill="1"/>
    <xf numFmtId="0" fontId="0" fillId="7" borderId="13" xfId="0" applyFill="1" applyBorder="1"/>
    <xf numFmtId="0" fontId="0" fillId="8" borderId="13" xfId="0" applyFill="1" applyBorder="1"/>
    <xf numFmtId="0" fontId="3" fillId="3" borderId="14" xfId="0" applyFont="1" applyFill="1" applyBorder="1"/>
    <xf numFmtId="9" fontId="0" fillId="0" borderId="0" xfId="0" applyNumberFormat="1"/>
    <xf numFmtId="0" fontId="3" fillId="3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2" fontId="3" fillId="9" borderId="14" xfId="0" applyNumberFormat="1" applyFont="1" applyFill="1" applyBorder="1"/>
    <xf numFmtId="9" fontId="0" fillId="4" borderId="0" xfId="0" applyNumberFormat="1" applyFill="1"/>
    <xf numFmtId="2" fontId="0" fillId="0" borderId="0" xfId="0" applyNumberFormat="1"/>
    <xf numFmtId="9" fontId="2" fillId="6" borderId="0" xfId="0" applyNumberFormat="1" applyFont="1" applyFill="1"/>
    <xf numFmtId="4" fontId="3" fillId="3" borderId="14" xfId="0" applyNumberFormat="1" applyFont="1" applyFill="1" applyBorder="1"/>
    <xf numFmtId="4" fontId="2" fillId="4" borderId="0" xfId="0" applyNumberFormat="1" applyFont="1" applyFill="1"/>
    <xf numFmtId="4" fontId="3" fillId="9" borderId="14" xfId="0" applyNumberFormat="1" applyFont="1" applyFill="1" applyBorder="1"/>
    <xf numFmtId="164" fontId="0" fillId="4" borderId="10" xfId="1" applyFont="1" applyFill="1" applyBorder="1"/>
    <xf numFmtId="0" fontId="5" fillId="0" borderId="0" xfId="0" applyFont="1"/>
    <xf numFmtId="0" fontId="6" fillId="0" borderId="0" xfId="0" applyFont="1" applyAlignment="1">
      <alignment horizontal="center"/>
    </xf>
    <xf numFmtId="0" fontId="2" fillId="6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13</xdr:row>
      <xdr:rowOff>104775</xdr:rowOff>
    </xdr:from>
    <xdr:to>
      <xdr:col>5</xdr:col>
      <xdr:colOff>685800</xdr:colOff>
      <xdr:row>26</xdr:row>
      <xdr:rowOff>142875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FE1044EA-1173-D6BA-0E06-C663EF1253FB}"/>
            </a:ext>
          </a:extLst>
        </xdr:cNvPr>
        <xdr:cNvSpPr/>
      </xdr:nvSpPr>
      <xdr:spPr>
        <a:xfrm>
          <a:off x="7372350" y="2581275"/>
          <a:ext cx="1295400" cy="2514600"/>
        </a:xfrm>
        <a:prstGeom prst="rightBrace">
          <a:avLst>
            <a:gd name="adj1" fmla="val 8333"/>
            <a:gd name="adj2" fmla="val 49613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228600</xdr:colOff>
      <xdr:row>29</xdr:row>
      <xdr:rowOff>66674</xdr:rowOff>
    </xdr:from>
    <xdr:to>
      <xdr:col>6</xdr:col>
      <xdr:colOff>0</xdr:colOff>
      <xdr:row>38</xdr:row>
      <xdr:rowOff>57149</xdr:rowOff>
    </xdr:to>
    <xdr:sp macro="" textlink="">
      <xdr:nvSpPr>
        <xdr:cNvPr id="3" name="Cerrar llave 2">
          <a:extLst>
            <a:ext uri="{FF2B5EF4-FFF2-40B4-BE49-F238E27FC236}">
              <a16:creationId xmlns:a16="http://schemas.microsoft.com/office/drawing/2014/main" id="{8B3DDB8B-7B81-4FEB-826D-641116BB739B}"/>
            </a:ext>
          </a:extLst>
        </xdr:cNvPr>
        <xdr:cNvSpPr/>
      </xdr:nvSpPr>
      <xdr:spPr>
        <a:xfrm>
          <a:off x="7448550" y="5591174"/>
          <a:ext cx="1295400" cy="1704975"/>
        </a:xfrm>
        <a:prstGeom prst="rightBrace">
          <a:avLst>
            <a:gd name="adj1" fmla="val 8333"/>
            <a:gd name="adj2" fmla="val 49613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941920</xdr:colOff>
      <xdr:row>14</xdr:row>
      <xdr:rowOff>169337</xdr:rowOff>
    </xdr:from>
    <xdr:to>
      <xdr:col>12</xdr:col>
      <xdr:colOff>486834</xdr:colOff>
      <xdr:row>30</xdr:row>
      <xdr:rowOff>105833</xdr:rowOff>
    </xdr:to>
    <xdr:cxnSp macro="">
      <xdr:nvCxnSpPr>
        <xdr:cNvPr id="7" name="Conector: angular 6">
          <a:extLst>
            <a:ext uri="{FF2B5EF4-FFF2-40B4-BE49-F238E27FC236}">
              <a16:creationId xmlns:a16="http://schemas.microsoft.com/office/drawing/2014/main" id="{6FD10B2F-54C0-B01C-77C0-19599F0DC6E6}"/>
            </a:ext>
          </a:extLst>
        </xdr:cNvPr>
        <xdr:cNvCxnSpPr/>
      </xdr:nvCxnSpPr>
      <xdr:spPr>
        <a:xfrm rot="10800000">
          <a:off x="12382503" y="2857504"/>
          <a:ext cx="3852331" cy="2984496"/>
        </a:xfrm>
        <a:prstGeom prst="bentConnector3">
          <a:avLst>
            <a:gd name="adj1" fmla="val 7418"/>
          </a:avLst>
        </a:prstGeom>
        <a:ln w="19050" cap="flat" cmpd="sng" algn="ctr">
          <a:solidFill>
            <a:srgbClr val="FF0000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95252</xdr:colOff>
      <xdr:row>5</xdr:row>
      <xdr:rowOff>126999</xdr:rowOff>
    </xdr:from>
    <xdr:to>
      <xdr:col>8</xdr:col>
      <xdr:colOff>550334</xdr:colOff>
      <xdr:row>14</xdr:row>
      <xdr:rowOff>158750</xdr:rowOff>
    </xdr:to>
    <xdr:cxnSp macro="">
      <xdr:nvCxnSpPr>
        <xdr:cNvPr id="14" name="Conector: angular 13">
          <a:extLst>
            <a:ext uri="{FF2B5EF4-FFF2-40B4-BE49-F238E27FC236}">
              <a16:creationId xmlns:a16="http://schemas.microsoft.com/office/drawing/2014/main" id="{2BA39004-3BCF-46C8-BDE6-64D67863247F}"/>
            </a:ext>
          </a:extLst>
        </xdr:cNvPr>
        <xdr:cNvCxnSpPr/>
      </xdr:nvCxnSpPr>
      <xdr:spPr>
        <a:xfrm rot="16200000" flipV="1">
          <a:off x="11848042" y="1740959"/>
          <a:ext cx="1756835" cy="455082"/>
        </a:xfrm>
        <a:prstGeom prst="bentConnector3">
          <a:avLst>
            <a:gd name="adj1" fmla="val 100602"/>
          </a:avLst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3DC6-2EC3-45D3-9DF1-008634F88CCF}">
  <dimension ref="A1:M39"/>
  <sheetViews>
    <sheetView tabSelected="1" zoomScale="130" zoomScaleNormal="130" workbookViewId="0">
      <selection activeCell="G11" sqref="G11:H11"/>
    </sheetView>
  </sheetViews>
  <sheetFormatPr defaultColWidth="11.42578125" defaultRowHeight="15"/>
  <cols>
    <col min="1" max="1" width="89.140625" bestFit="1" customWidth="1"/>
    <col min="2" max="2" width="7.42578125" bestFit="1" customWidth="1"/>
    <col min="3" max="3" width="15.85546875" customWidth="1"/>
    <col min="7" max="7" width="39" customWidth="1"/>
    <col min="8" max="8" width="14.42578125" customWidth="1"/>
    <col min="10" max="10" width="15.85546875" customWidth="1"/>
    <col min="13" max="13" width="14" bestFit="1" customWidth="1"/>
  </cols>
  <sheetData>
    <row r="1" spans="1:13" ht="15.75">
      <c r="A1" s="46" t="s">
        <v>0</v>
      </c>
      <c r="G1" s="50" t="s">
        <v>1</v>
      </c>
      <c r="H1" s="50"/>
      <c r="J1" s="51" t="s">
        <v>2</v>
      </c>
      <c r="K1" s="51"/>
      <c r="L1" s="51"/>
    </row>
    <row r="2" spans="1:13">
      <c r="A2" s="8" t="s">
        <v>3</v>
      </c>
      <c r="B2" s="9" t="s">
        <v>4</v>
      </c>
      <c r="C2" s="11" t="s">
        <v>5</v>
      </c>
      <c r="D2" s="9" t="s">
        <v>6</v>
      </c>
      <c r="G2" s="6" t="s">
        <v>7</v>
      </c>
      <c r="H2" s="2">
        <f>UUCW+UAW</f>
        <v>109</v>
      </c>
      <c r="J2" s="51" t="s">
        <v>8</v>
      </c>
      <c r="K2" s="51"/>
      <c r="L2" s="51"/>
    </row>
    <row r="3" spans="1:13">
      <c r="A3" s="6" t="s">
        <v>9</v>
      </c>
      <c r="B3" s="3">
        <v>5</v>
      </c>
      <c r="C3" s="5">
        <v>3</v>
      </c>
      <c r="D3" s="3">
        <f>C3*B3</f>
        <v>15</v>
      </c>
      <c r="G3" s="6" t="s">
        <v>10</v>
      </c>
      <c r="H3" s="2">
        <f>0.6+(0.01*D28)</f>
        <v>1.1299999999999999</v>
      </c>
      <c r="J3" s="51" t="s">
        <v>11</v>
      </c>
      <c r="K3" s="51"/>
      <c r="L3" s="51"/>
    </row>
    <row r="4" spans="1:13" ht="15.75" thickBot="1">
      <c r="A4" s="6" t="s">
        <v>12</v>
      </c>
      <c r="B4" s="3">
        <v>10</v>
      </c>
      <c r="C4" s="5">
        <v>3</v>
      </c>
      <c r="D4" s="3">
        <f>C4*B4</f>
        <v>30</v>
      </c>
      <c r="G4" s="14" t="s">
        <v>13</v>
      </c>
      <c r="H4" s="15">
        <f>1.4+(-0.03*D39)</f>
        <v>0.79999999999999993</v>
      </c>
      <c r="L4" s="49" t="s">
        <v>14</v>
      </c>
      <c r="M4" s="49"/>
    </row>
    <row r="5" spans="1:13">
      <c r="A5" s="6" t="s">
        <v>15</v>
      </c>
      <c r="B5" s="3">
        <v>15</v>
      </c>
      <c r="C5" s="5">
        <v>3</v>
      </c>
      <c r="D5" s="3">
        <f>C5*B5</f>
        <v>45</v>
      </c>
      <c r="G5" s="16" t="s">
        <v>16</v>
      </c>
      <c r="H5" s="17">
        <f>UUCP*TCF*ENF</f>
        <v>98.535999999999987</v>
      </c>
      <c r="K5" s="36"/>
      <c r="L5" s="37" t="s">
        <v>17</v>
      </c>
      <c r="M5" s="36" t="s">
        <v>18</v>
      </c>
    </row>
    <row r="6" spans="1:13">
      <c r="A6" s="26" t="s">
        <v>19</v>
      </c>
      <c r="B6" s="27"/>
      <c r="C6" s="28">
        <f>SUM(C3:C5)</f>
        <v>9</v>
      </c>
      <c r="D6" s="29">
        <f>SUM(D3:D5)</f>
        <v>90</v>
      </c>
      <c r="G6" s="18" t="s">
        <v>20</v>
      </c>
      <c r="H6" s="19">
        <v>28</v>
      </c>
      <c r="J6" s="33" t="s">
        <v>21</v>
      </c>
      <c r="K6" s="34">
        <v>0.1</v>
      </c>
      <c r="L6" s="42">
        <f>+($L$8*K6)/$K$8</f>
        <v>689.75199999999995</v>
      </c>
      <c r="M6" s="40">
        <f>+L6/6</f>
        <v>114.95866666666666</v>
      </c>
    </row>
    <row r="7" spans="1:13">
      <c r="G7" s="18" t="s">
        <v>22</v>
      </c>
      <c r="H7" s="45">
        <f>+(7000)+(6500)+(6000)+(5500)</f>
        <v>25000</v>
      </c>
      <c r="J7" s="33" t="s">
        <v>23</v>
      </c>
      <c r="K7" s="34">
        <v>0.2</v>
      </c>
      <c r="L7" s="42">
        <f>+($L$8*K7)/$K$8</f>
        <v>1379.5039999999999</v>
      </c>
      <c r="M7" s="40">
        <f>+L7/6</f>
        <v>229.91733333333332</v>
      </c>
    </row>
    <row r="8" spans="1:13" ht="18.75">
      <c r="A8" s="10" t="s">
        <v>24</v>
      </c>
      <c r="B8" s="9" t="s">
        <v>4</v>
      </c>
      <c r="C8" s="11" t="s">
        <v>25</v>
      </c>
      <c r="D8" s="9" t="s">
        <v>6</v>
      </c>
      <c r="G8" s="20" t="s">
        <v>26</v>
      </c>
      <c r="H8" s="21">
        <f>UCP*HORAS</f>
        <v>2759.0079999999998</v>
      </c>
      <c r="I8" s="47" t="s">
        <v>27</v>
      </c>
      <c r="J8" s="33" t="s">
        <v>28</v>
      </c>
      <c r="K8" s="39">
        <v>0.4</v>
      </c>
      <c r="L8" s="43">
        <f>+TotalHoras</f>
        <v>2759.0079999999998</v>
      </c>
      <c r="M8" s="40">
        <f>+L8/6</f>
        <v>459.83466666666664</v>
      </c>
    </row>
    <row r="9" spans="1:13">
      <c r="A9" s="6" t="s">
        <v>29</v>
      </c>
      <c r="B9" s="3">
        <v>1</v>
      </c>
      <c r="C9" s="5">
        <v>1</v>
      </c>
      <c r="D9" s="3">
        <f>C9*B9</f>
        <v>1</v>
      </c>
      <c r="G9" s="20" t="s">
        <v>30</v>
      </c>
      <c r="H9" s="19">
        <v>13</v>
      </c>
      <c r="J9" s="33" t="s">
        <v>31</v>
      </c>
      <c r="K9" s="34">
        <v>0.15</v>
      </c>
      <c r="L9" s="42">
        <f>+($L$8*K9)/$K$8</f>
        <v>1034.6279999999997</v>
      </c>
      <c r="M9" s="40">
        <f>+L9/6</f>
        <v>172.43799999999996</v>
      </c>
    </row>
    <row r="10" spans="1:13">
      <c r="A10" s="6" t="s">
        <v>32</v>
      </c>
      <c r="B10" s="3">
        <v>2</v>
      </c>
      <c r="C10" s="5">
        <v>0</v>
      </c>
      <c r="D10" s="3">
        <f>C10*B10</f>
        <v>0</v>
      </c>
      <c r="G10" s="22" t="s">
        <v>33</v>
      </c>
      <c r="H10" s="23">
        <f>TotalHoras/(Personas*6*20)</f>
        <v>1.7685948717948716</v>
      </c>
      <c r="J10" s="35" t="s">
        <v>34</v>
      </c>
      <c r="K10" s="34">
        <v>0.15</v>
      </c>
      <c r="L10" s="42">
        <f>+($L$8*K10)/$K$8</f>
        <v>1034.6279999999997</v>
      </c>
      <c r="M10" s="40">
        <f>+L10/6</f>
        <v>172.43799999999996</v>
      </c>
    </row>
    <row r="11" spans="1:13" ht="15.75" thickBot="1">
      <c r="A11" s="6" t="s">
        <v>35</v>
      </c>
      <c r="B11" s="3">
        <v>3</v>
      </c>
      <c r="C11" s="5">
        <v>6</v>
      </c>
      <c r="D11" s="3">
        <f>C11*B11</f>
        <v>18</v>
      </c>
      <c r="G11" s="24" t="s">
        <v>36</v>
      </c>
      <c r="H11" s="25">
        <f>+TotalHoras*H7</f>
        <v>68975200</v>
      </c>
      <c r="K11" s="41">
        <f>SUM(K6:K10)</f>
        <v>1</v>
      </c>
      <c r="L11" s="44">
        <f>SUM(L6:L10)</f>
        <v>6897.5199999999986</v>
      </c>
      <c r="M11" s="38">
        <f>SUM(M6:M10)</f>
        <v>1149.5866666666666</v>
      </c>
    </row>
    <row r="12" spans="1:13">
      <c r="A12" s="26" t="s">
        <v>37</v>
      </c>
      <c r="B12" s="27"/>
      <c r="C12" s="28">
        <f>SUM(C9:C11)</f>
        <v>7</v>
      </c>
      <c r="D12" s="29">
        <f>SUM(D9:D11)</f>
        <v>19</v>
      </c>
      <c r="M12" s="40"/>
    </row>
    <row r="13" spans="1:13">
      <c r="B13" s="4"/>
      <c r="C13" s="4"/>
      <c r="D13" s="4"/>
      <c r="G13" s="12" t="s">
        <v>38</v>
      </c>
      <c r="H13" s="12" t="s">
        <v>39</v>
      </c>
    </row>
    <row r="14" spans="1:13">
      <c r="A14" s="8" t="s">
        <v>40</v>
      </c>
      <c r="B14" s="11" t="s">
        <v>4</v>
      </c>
      <c r="C14" s="11" t="s">
        <v>41</v>
      </c>
      <c r="D14" s="11" t="s">
        <v>42</v>
      </c>
      <c r="G14" t="s">
        <v>43</v>
      </c>
      <c r="H14" t="s">
        <v>44</v>
      </c>
    </row>
    <row r="15" spans="1:13">
      <c r="A15" s="7" t="s">
        <v>45</v>
      </c>
      <c r="B15" s="3">
        <v>2</v>
      </c>
      <c r="C15" s="5">
        <v>5</v>
      </c>
      <c r="D15" s="3">
        <f t="shared" ref="D15:D27" si="0">C15*B15</f>
        <v>10</v>
      </c>
      <c r="G15" t="s">
        <v>46</v>
      </c>
      <c r="H15" t="s">
        <v>47</v>
      </c>
      <c r="K15" s="13"/>
    </row>
    <row r="16" spans="1:13">
      <c r="A16" s="7" t="s">
        <v>48</v>
      </c>
      <c r="B16" s="3">
        <v>2</v>
      </c>
      <c r="C16" s="5">
        <v>5</v>
      </c>
      <c r="D16" s="3">
        <f t="shared" si="0"/>
        <v>10</v>
      </c>
      <c r="G16" t="s">
        <v>49</v>
      </c>
    </row>
    <row r="17" spans="1:13">
      <c r="A17" s="7" t="s">
        <v>50</v>
      </c>
      <c r="B17" s="3">
        <v>1</v>
      </c>
      <c r="C17" s="5">
        <v>5</v>
      </c>
      <c r="D17" s="3">
        <f t="shared" si="0"/>
        <v>5</v>
      </c>
    </row>
    <row r="18" spans="1:13">
      <c r="A18" s="7" t="s">
        <v>51</v>
      </c>
      <c r="B18" s="3">
        <v>1</v>
      </c>
      <c r="C18" s="5">
        <v>1</v>
      </c>
      <c r="D18" s="3">
        <f t="shared" si="0"/>
        <v>1</v>
      </c>
    </row>
    <row r="19" spans="1:13">
      <c r="A19" s="7" t="s">
        <v>52</v>
      </c>
      <c r="B19" s="3">
        <v>1</v>
      </c>
      <c r="C19" s="5">
        <v>5</v>
      </c>
      <c r="D19" s="3">
        <f t="shared" si="0"/>
        <v>5</v>
      </c>
      <c r="G19" s="12" t="s">
        <v>53</v>
      </c>
    </row>
    <row r="20" spans="1:13">
      <c r="A20" s="7" t="s">
        <v>54</v>
      </c>
      <c r="B20" s="3">
        <v>0.5</v>
      </c>
      <c r="C20" s="5">
        <v>5</v>
      </c>
      <c r="D20" s="3">
        <f t="shared" si="0"/>
        <v>2.5</v>
      </c>
      <c r="G20" t="s">
        <v>55</v>
      </c>
      <c r="H20" s="1">
        <v>0</v>
      </c>
    </row>
    <row r="21" spans="1:13">
      <c r="A21" s="7" t="s">
        <v>56</v>
      </c>
      <c r="B21" s="3">
        <v>0.5</v>
      </c>
      <c r="C21" s="5">
        <v>5</v>
      </c>
      <c r="D21" s="3">
        <f t="shared" si="0"/>
        <v>2.5</v>
      </c>
      <c r="G21" t="s">
        <v>57</v>
      </c>
      <c r="H21" s="1">
        <v>1</v>
      </c>
    </row>
    <row r="22" spans="1:13">
      <c r="A22" s="7" t="s">
        <v>58</v>
      </c>
      <c r="B22" s="3">
        <v>2</v>
      </c>
      <c r="C22" s="5">
        <v>0</v>
      </c>
      <c r="D22" s="3">
        <f t="shared" si="0"/>
        <v>0</v>
      </c>
      <c r="G22" t="s">
        <v>59</v>
      </c>
      <c r="H22" s="1">
        <v>2</v>
      </c>
    </row>
    <row r="23" spans="1:13">
      <c r="A23" s="7" t="s">
        <v>60</v>
      </c>
      <c r="B23" s="3">
        <v>1</v>
      </c>
      <c r="C23" s="5">
        <v>5</v>
      </c>
      <c r="D23" s="3">
        <f t="shared" si="0"/>
        <v>5</v>
      </c>
      <c r="G23" t="s">
        <v>61</v>
      </c>
      <c r="H23" s="1">
        <v>3</v>
      </c>
    </row>
    <row r="24" spans="1:13">
      <c r="A24" s="7" t="s">
        <v>62</v>
      </c>
      <c r="B24" s="3">
        <v>1</v>
      </c>
      <c r="C24" s="5">
        <v>5</v>
      </c>
      <c r="D24" s="3">
        <f t="shared" si="0"/>
        <v>5</v>
      </c>
      <c r="G24" t="s">
        <v>63</v>
      </c>
      <c r="H24" s="1">
        <v>4</v>
      </c>
    </row>
    <row r="25" spans="1:13">
      <c r="A25" s="7" t="s">
        <v>64</v>
      </c>
      <c r="B25" s="3">
        <v>1</v>
      </c>
      <c r="C25" s="5">
        <v>5</v>
      </c>
      <c r="D25" s="3">
        <f t="shared" si="0"/>
        <v>5</v>
      </c>
      <c r="G25" t="s">
        <v>65</v>
      </c>
      <c r="H25" s="1">
        <v>5</v>
      </c>
    </row>
    <row r="26" spans="1:13">
      <c r="A26" s="7" t="s">
        <v>66</v>
      </c>
      <c r="B26" s="3">
        <v>1</v>
      </c>
      <c r="C26" s="5">
        <v>0</v>
      </c>
      <c r="D26" s="3">
        <f t="shared" si="0"/>
        <v>0</v>
      </c>
    </row>
    <row r="27" spans="1:13">
      <c r="A27" s="7" t="s">
        <v>67</v>
      </c>
      <c r="B27" s="3">
        <v>1</v>
      </c>
      <c r="C27" s="5">
        <v>2</v>
      </c>
      <c r="D27" s="3">
        <f t="shared" si="0"/>
        <v>2</v>
      </c>
    </row>
    <row r="28" spans="1:13">
      <c r="A28" s="26" t="s">
        <v>68</v>
      </c>
      <c r="B28" s="27"/>
      <c r="C28" s="27"/>
      <c r="D28" s="29">
        <f>SUM(D15:D27)</f>
        <v>53</v>
      </c>
      <c r="I28" s="52" t="s">
        <v>69</v>
      </c>
      <c r="J28" s="53"/>
      <c r="K28" s="53"/>
      <c r="L28" s="53"/>
    </row>
    <row r="29" spans="1:13">
      <c r="G29" s="12" t="s">
        <v>70</v>
      </c>
      <c r="I29" s="31" t="s">
        <v>71</v>
      </c>
      <c r="J29" s="31"/>
      <c r="K29" s="31"/>
      <c r="L29" s="31"/>
      <c r="M29" s="32">
        <v>1</v>
      </c>
    </row>
    <row r="30" spans="1:13">
      <c r="A30" s="10" t="s">
        <v>69</v>
      </c>
      <c r="B30" s="9" t="s">
        <v>4</v>
      </c>
      <c r="C30" s="9" t="s">
        <v>41</v>
      </c>
      <c r="D30" s="9" t="s">
        <v>42</v>
      </c>
      <c r="G30" t="s">
        <v>72</v>
      </c>
      <c r="I30" s="31" t="s">
        <v>73</v>
      </c>
      <c r="J30" s="31"/>
      <c r="K30" s="31"/>
      <c r="L30" s="31"/>
      <c r="M30" s="32">
        <v>2</v>
      </c>
    </row>
    <row r="31" spans="1:13">
      <c r="A31" s="7" t="s">
        <v>74</v>
      </c>
      <c r="B31" s="3">
        <v>1.5</v>
      </c>
      <c r="C31" s="5">
        <v>5</v>
      </c>
      <c r="D31" s="3">
        <f t="shared" ref="D31:D38" si="1">C31*B31</f>
        <v>7.5</v>
      </c>
      <c r="G31" t="s">
        <v>75</v>
      </c>
      <c r="I31" s="48" t="s">
        <v>76</v>
      </c>
      <c r="J31" s="48"/>
      <c r="K31" s="48"/>
      <c r="L31" s="48"/>
      <c r="M31" s="30">
        <f>SUM(M29:M30)</f>
        <v>3</v>
      </c>
    </row>
    <row r="32" spans="1:13">
      <c r="A32" s="7" t="s">
        <v>77</v>
      </c>
      <c r="B32" s="3">
        <v>0.5</v>
      </c>
      <c r="C32" s="5">
        <v>3</v>
      </c>
      <c r="D32" s="3">
        <f t="shared" si="1"/>
        <v>1.5</v>
      </c>
      <c r="G32" t="s">
        <v>78</v>
      </c>
    </row>
    <row r="33" spans="1:8">
      <c r="A33" s="7" t="s">
        <v>79</v>
      </c>
      <c r="B33" s="3">
        <v>1</v>
      </c>
      <c r="C33" s="5">
        <v>3</v>
      </c>
      <c r="D33" s="3">
        <f t="shared" si="1"/>
        <v>3</v>
      </c>
      <c r="G33" s="12" t="s">
        <v>80</v>
      </c>
    </row>
    <row r="34" spans="1:8">
      <c r="A34" s="7" t="s">
        <v>81</v>
      </c>
      <c r="B34" s="3">
        <v>0.5</v>
      </c>
      <c r="C34" s="5">
        <v>2</v>
      </c>
      <c r="D34" s="3">
        <f t="shared" si="1"/>
        <v>1</v>
      </c>
      <c r="G34" t="s">
        <v>55</v>
      </c>
      <c r="H34" s="1">
        <v>0</v>
      </c>
    </row>
    <row r="35" spans="1:8">
      <c r="A35" s="7" t="s">
        <v>82</v>
      </c>
      <c r="B35" s="3">
        <v>1</v>
      </c>
      <c r="C35" s="5">
        <v>5</v>
      </c>
      <c r="D35" s="3">
        <f t="shared" si="1"/>
        <v>5</v>
      </c>
      <c r="G35" t="s">
        <v>57</v>
      </c>
      <c r="H35" s="1">
        <v>1</v>
      </c>
    </row>
    <row r="36" spans="1:8">
      <c r="A36" s="7" t="s">
        <v>83</v>
      </c>
      <c r="B36" s="3">
        <v>2</v>
      </c>
      <c r="C36" s="5">
        <v>5</v>
      </c>
      <c r="D36" s="3">
        <f t="shared" si="1"/>
        <v>10</v>
      </c>
      <c r="G36" t="s">
        <v>59</v>
      </c>
      <c r="H36" s="1">
        <v>2</v>
      </c>
    </row>
    <row r="37" spans="1:8">
      <c r="A37" s="7" t="s">
        <v>84</v>
      </c>
      <c r="B37" s="3">
        <v>-1</v>
      </c>
      <c r="C37" s="5">
        <v>5</v>
      </c>
      <c r="D37" s="3">
        <f t="shared" si="1"/>
        <v>-5</v>
      </c>
      <c r="G37" t="s">
        <v>61</v>
      </c>
      <c r="H37" s="1">
        <v>3</v>
      </c>
    </row>
    <row r="38" spans="1:8">
      <c r="A38" s="7" t="s">
        <v>85</v>
      </c>
      <c r="B38" s="3">
        <v>-1</v>
      </c>
      <c r="C38" s="5">
        <v>3</v>
      </c>
      <c r="D38" s="3">
        <f t="shared" si="1"/>
        <v>-3</v>
      </c>
      <c r="G38" t="s">
        <v>63</v>
      </c>
      <c r="H38" s="1">
        <v>4</v>
      </c>
    </row>
    <row r="39" spans="1:8">
      <c r="A39" s="26" t="s">
        <v>86</v>
      </c>
      <c r="B39" s="27"/>
      <c r="C39" s="27"/>
      <c r="D39" s="29">
        <f>SUM(D31:D38)</f>
        <v>20</v>
      </c>
      <c r="G39" t="s">
        <v>65</v>
      </c>
      <c r="H39" s="1">
        <v>5</v>
      </c>
    </row>
  </sheetData>
  <mergeCells count="7">
    <mergeCell ref="I31:L31"/>
    <mergeCell ref="L4:M4"/>
    <mergeCell ref="G1:H1"/>
    <mergeCell ref="J1:L1"/>
    <mergeCell ref="J3:L3"/>
    <mergeCell ref="J2:L2"/>
    <mergeCell ref="I28:L28"/>
  </mergeCells>
  <pageMargins left="0.7" right="0.7" top="0.75" bottom="0.75" header="0.3" footer="0.3"/>
  <pageSetup orientation="portrait" r:id="rId1"/>
  <ignoredErrors>
    <ignoredError sqref="L8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36B7-EA0C-4181-B988-084E024B6259}">
  <dimension ref="A1"/>
  <sheetViews>
    <sheetView topLeftCell="A2" workbookViewId="0">
      <selection activeCell="E15" sqref="E15"/>
    </sheetView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 Flores</dc:creator>
  <cp:keywords/>
  <dc:description/>
  <cp:lastModifiedBy/>
  <cp:revision/>
  <dcterms:created xsi:type="dcterms:W3CDTF">2024-07-02T15:57:38Z</dcterms:created>
  <dcterms:modified xsi:type="dcterms:W3CDTF">2025-11-20T14:01:33Z</dcterms:modified>
  <cp:category/>
  <cp:contentStatus/>
</cp:coreProperties>
</file>